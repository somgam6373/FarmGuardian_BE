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FarmGuardian\docs\dev\"/>
    </mc:Choice>
  </mc:AlternateContent>
  <xr:revisionPtr revIDLastSave="0" documentId="13_ncr:1_{3338111A-2EEA-41E6-B808-A8E1811515D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백로그" sheetId="1" r:id="rId1"/>
    <sheet name="요약" sheetId="2" r:id="rId2"/>
  </sheets>
  <definedNames>
    <definedName name="_xlnm._FilterDatabase" localSheetId="0" hidden="1">백로그!$A$1:$G$55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E15" i="2"/>
  <c r="D15" i="2"/>
  <c r="C15" i="2"/>
  <c r="B15" i="2"/>
  <c r="F15" i="2" s="1"/>
  <c r="F14" i="2"/>
  <c r="E14" i="2"/>
  <c r="D14" i="2"/>
  <c r="C14" i="2"/>
  <c r="B14" i="2"/>
  <c r="E13" i="2"/>
  <c r="F13" i="2" s="1"/>
  <c r="D13" i="2"/>
  <c r="C13" i="2"/>
  <c r="C16" i="2" s="1"/>
  <c r="B13" i="2"/>
  <c r="E12" i="2"/>
  <c r="E16" i="2" s="1"/>
  <c r="D12" i="2"/>
  <c r="D16" i="2" s="1"/>
  <c r="C12" i="2"/>
  <c r="B12" i="2"/>
  <c r="F12" i="2" s="1"/>
  <c r="F16" i="2" s="1"/>
  <c r="B17" i="2" s="1"/>
  <c r="C9" i="2"/>
  <c r="D9" i="2" s="1"/>
  <c r="B9" i="2"/>
  <c r="D8" i="2"/>
  <c r="C8" i="2"/>
  <c r="B8" i="2"/>
  <c r="C7" i="2"/>
  <c r="D7" i="2" s="1"/>
  <c r="B7" i="2"/>
  <c r="D6" i="2"/>
  <c r="C6" i="2"/>
  <c r="B6" i="2"/>
  <c r="C5" i="2"/>
  <c r="D5" i="2" s="1"/>
  <c r="B5" i="2"/>
</calcChain>
</file>

<file path=xl/sharedStrings.xml><?xml version="1.0" encoding="utf-8"?>
<sst xmlns="http://schemas.openxmlformats.org/spreadsheetml/2006/main" count="360" uniqueCount="151">
  <si>
    <t>ID</t>
  </si>
  <si>
    <t>분류</t>
  </si>
  <si>
    <t>작업</t>
  </si>
  <si>
    <t>우선순위</t>
  </si>
  <si>
    <t>담당</t>
  </si>
  <si>
    <t>스프린트</t>
  </si>
  <si>
    <t>완료</t>
  </si>
  <si>
    <t>BE-01</t>
  </si>
  <si>
    <t>준비</t>
  </si>
  <si>
    <t>외부 API 키 신청 (도로명주소·팜맵·기상청·PSIS·NCPMS)</t>
  </si>
  <si>
    <t>P0</t>
  </si>
  <si>
    <t>준혁</t>
  </si>
  <si>
    <t>S1</t>
  </si>
  <si>
    <t>BE-02</t>
  </si>
  <si>
    <t>카카오 개발자 앱 등록 (불필요: 카카오 로그인 제거, 행 삭제 필요)</t>
  </si>
  <si>
    <t>BE-03</t>
  </si>
  <si>
    <t>git 저장소 준비</t>
  </si>
  <si>
    <t>BE-04</t>
  </si>
  <si>
    <t>FastAPI 프로젝트 골격</t>
  </si>
  <si>
    <t>BE-05</t>
  </si>
  <si>
    <t>개발 DB 구축 (PostgreSQL + PostGIS)</t>
  </si>
  <si>
    <t>DB</t>
  </si>
  <si>
    <t>BE-06</t>
  </si>
  <si>
    <t>테스트 DB 환경 구성</t>
  </si>
  <si>
    <t>BE-07</t>
  </si>
  <si>
    <t>조사</t>
  </si>
  <si>
    <t>PSIS 샘플 데이터 조사</t>
  </si>
  <si>
    <t>혜빈님</t>
  </si>
  <si>
    <t>BE-08</t>
  </si>
  <si>
    <t>NCPMS 샘플 데이터 조사</t>
  </si>
  <si>
    <t>BE-09</t>
  </si>
  <si>
    <t>팜맵 실호출 검증</t>
  </si>
  <si>
    <t>BE-10</t>
  </si>
  <si>
    <t>성분 단위 합산 규정 확인</t>
  </si>
  <si>
    <t>S3</t>
  </si>
  <si>
    <t>BE-11</t>
  </si>
  <si>
    <t>다작용점 약제 처리 확인</t>
  </si>
  <si>
    <t>P1</t>
  </si>
  <si>
    <t>미정</t>
  </si>
  <si>
    <t>BE-12</t>
  </si>
  <si>
    <t>공통</t>
  </si>
  <si>
    <t>DB 스키마·마이그레이션 작성</t>
  </si>
  <si>
    <t>BE-13</t>
  </si>
  <si>
    <t>API 명세(OpenAPI) 확정</t>
  </si>
  <si>
    <t>BE-14</t>
  </si>
  <si>
    <t>응답 예시 데이터 작성</t>
  </si>
  <si>
    <t>BE-15</t>
  </si>
  <si>
    <t>X-User-Id 인증·소유자 검사 구현 (개발용 사용자 시드 포함)</t>
  </si>
  <si>
    <t>BE-16</t>
  </si>
  <si>
    <t>외부 API 호출 공통 처리</t>
  </si>
  <si>
    <t>BE-17</t>
  </si>
  <si>
    <t>인증</t>
  </si>
  <si>
    <t>가입·로그인 구현 (가입 때 첫 밭 생성)</t>
  </si>
  <si>
    <t>BE-18</t>
  </si>
  <si>
    <t>온보딩 상태 API 구현 (내 정보·온보딩 완료)</t>
  </si>
  <si>
    <t>BE-19</t>
  </si>
  <si>
    <t>회원 탈퇴 구현</t>
  </si>
  <si>
    <t>BE-20</t>
  </si>
  <si>
    <t>연동</t>
  </si>
  <si>
    <t>PNU 조립·팜맵 GML 파서 구현</t>
  </si>
  <si>
    <t>BE-21</t>
  </si>
  <si>
    <t>주소 검색 API 구현</t>
  </si>
  <si>
    <t>S2</t>
  </si>
  <si>
    <t>BE-22</t>
  </si>
  <si>
    <t>팜맵 필지 조회 API 구현</t>
  </si>
  <si>
    <t>BE-23</t>
  </si>
  <si>
    <t>기상청 강수 예보 API 구현</t>
  </si>
  <si>
    <t>BE-24</t>
  </si>
  <si>
    <t>밭·구역</t>
  </si>
  <si>
    <t>밭 등록 구현</t>
  </si>
  <si>
    <t>BE-25</t>
  </si>
  <si>
    <t>구역 분할 계산 구현 (균등·비율)</t>
  </si>
  <si>
    <t>BE-26</t>
  </si>
  <si>
    <t>구역 분할 미리보기·구역 생성 구현</t>
  </si>
  <si>
    <t>BE-27</t>
  </si>
  <si>
    <t>내 밭 목록·밭 삭제 구현</t>
  </si>
  <si>
    <t>BE-28</t>
  </si>
  <si>
    <t>구역 서비스 함수 제공 (팀원 연동용)</t>
  </si>
  <si>
    <t>BE-29</t>
  </si>
  <si>
    <t>구역 상세·수정 구현</t>
  </si>
  <si>
    <t>BE-30</t>
  </si>
  <si>
    <t>수동 구역 등록 (팜맵 검증 결과에 따라)</t>
  </si>
  <si>
    <t>미확정</t>
  </si>
  <si>
    <t>BE-31</t>
  </si>
  <si>
    <t>적재</t>
  </si>
  <si>
    <t>PSIS 문자열 파서 구현</t>
  </si>
  <si>
    <t>BE-32</t>
  </si>
  <si>
    <t>PSIS 농약 데이터 적재 구현</t>
  </si>
  <si>
    <t>BE-33</t>
  </si>
  <si>
    <t>NCPMS 병해충 도감 적재 구현</t>
  </si>
  <si>
    <t>BE-34</t>
  </si>
  <si>
    <t>매개충 데이터 작성·적재</t>
  </si>
  <si>
    <t>BE-35</t>
  </si>
  <si>
    <t>작용기작 국제코드 매핑 (별표 8)</t>
  </si>
  <si>
    <t>BE-36</t>
  </si>
  <si>
    <t>병해충·약제</t>
  </si>
  <si>
    <t>병해충 선택 API 구현 (증상 부위·도감·이름 검색)</t>
  </si>
  <si>
    <t>BE-37</t>
  </si>
  <si>
    <t>등록 약제 목록 API 구현</t>
  </si>
  <si>
    <t>BE-38</t>
  </si>
  <si>
    <t>판정</t>
  </si>
  <si>
    <t>4체크 판정 - 등록 구현</t>
  </si>
  <si>
    <t>BE-39</t>
  </si>
  <si>
    <t>4체크 판정 - 시기 구현</t>
  </si>
  <si>
    <t>BE-40</t>
  </si>
  <si>
    <t>4체크 판정 - 횟수 구현</t>
  </si>
  <si>
    <t>BE-41</t>
  </si>
  <si>
    <t>BE-42</t>
  </si>
  <si>
    <t>최종 판정·안내 문구 구현</t>
  </si>
  <si>
    <t>BE-43</t>
  </si>
  <si>
    <t>편중도 계산 구현</t>
  </si>
  <si>
    <t>BE-44</t>
  </si>
  <si>
    <t>대안 약제 구현</t>
  </si>
  <si>
    <t>BE-45</t>
  </si>
  <si>
    <t>판정 API 구현</t>
  </si>
  <si>
    <t>BE-46</t>
  </si>
  <si>
    <t>기록</t>
  </si>
  <si>
    <t>살포 기록 저장 구현 (재시도·중복 처리)</t>
  </si>
  <si>
    <t>BE-47</t>
  </si>
  <si>
    <t>살포 이력 조회·취소 구현</t>
  </si>
  <si>
    <t>BE-48</t>
  </si>
  <si>
    <t>QA</t>
  </si>
  <si>
    <t>시연용 데모 데이터 구성</t>
  </si>
  <si>
    <t>BE-49</t>
  </si>
  <si>
    <t>e2e 테스트·문구 점검</t>
  </si>
  <si>
    <t>BE-50</t>
  </si>
  <si>
    <t>판정 응답시간 측정</t>
  </si>
  <si>
    <t>BE-51</t>
  </si>
  <si>
    <t>프론트 연동 버그 수정</t>
  </si>
  <si>
    <t>공동</t>
  </si>
  <si>
    <t>BE-52</t>
  </si>
  <si>
    <t>협의</t>
  </si>
  <si>
    <t>PRD 수정 사항 기획 합의</t>
  </si>
  <si>
    <t>BE-53</t>
  </si>
  <si>
    <t>프론트 협의 사항 확정</t>
  </si>
  <si>
    <t>BE-54</t>
  </si>
  <si>
    <t>면책·팜맵 안내 문구 확정</t>
  </si>
  <si>
    <t>팜가디언 BE 백로그 현황</t>
  </si>
  <si>
    <t>숫자는 '백로그' 시트에서 자동 계산된다.</t>
  </si>
  <si>
    <t>전체</t>
  </si>
  <si>
    <t>진행률</t>
  </si>
  <si>
    <t>스프린트 \ 담당</t>
  </si>
  <si>
    <t>합계</t>
  </si>
  <si>
    <t>검산</t>
  </si>
  <si>
    <t>안내</t>
  </si>
  <si>
    <t>우선순위: P0 첫 버전 필수 · P1 P0 후 검토 · P2 고도화 · 미확정 확인 후 결정</t>
  </si>
  <si>
    <t>완료: 체크하면 행이 초록색. 체크박스는 Microsoft 365 엑셀에서 보이고, 이전 버전에서는 TRUE/FALSE로 보인다</t>
  </si>
  <si>
    <t>새 작업: 마지막 행을 복사해 아래에 붙여넣고 ID를 다음 번호로 (체크박스도 같이 복사됨). 목록 밖 값이면 검산이 '불일치'</t>
  </si>
  <si>
    <t>스프린트 3개: S1 = 준비·조사·계약·판정 기초, S2 = 판정·적재·밭/구역·기록, S3 = 병해충·로그인·탈퇴·날씨·QA</t>
  </si>
  <si>
    <t>기준: PRD.md, docs/dev 설계 문서 (2026-10-11 개정)</t>
  </si>
  <si>
    <t>4체크 판정 - 작용기작 구현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</si>
</sst>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4"/>
      <color theme="1"/>
      <name val="맑은 고딕"/>
      <family val="2"/>
    </font>
    <font>
      <sz val="9"/>
      <color rgb="FF586760"/>
      <name val="맑은 고딕"/>
      <family val="2"/>
    </font>
    <font>
      <b/>
      <sz val="10"/>
      <color theme="1"/>
      <name val="맑은 고딕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4F45"/>
        <bgColor indexed="64"/>
      </patternFill>
    </fill>
    <fill>
      <patternFill patternType="solid">
        <fgColor rgb="FFE3EAE6"/>
        <bgColor indexed="64"/>
      </patternFill>
    </fill>
  </fills>
  <borders count="2">
    <border>
      <left/>
      <right/>
      <top/>
      <bottom/>
      <diagonal/>
    </border>
    <border>
      <left style="thin">
        <color rgb="FFC9D4CD"/>
      </left>
      <right style="thin">
        <color rgb="FFC9D4CD"/>
      </right>
      <top style="thin">
        <color rgb="FFC9D4CD"/>
      </top>
      <bottom style="thin">
        <color rgb="FFC9D4C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" xfId="0" applyFont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5" fillId="0" borderId="0" xfId="0" applyFont="1"/>
  </cellXfs>
  <cellStyles count="1">
    <cellStyle name="표준" xfId="0" builtinId="0"/>
  </cellStyles>
  <dxfs count="1">
    <dxf>
      <fill>
        <patternFill>
          <bgColor rgb="FFDCEFE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workbookViewId="0">
      <pane ySplit="1" topLeftCell="A14" activePane="bottomLeft" state="frozen"/>
      <selection pane="bottomLeft" activeCell="C52" sqref="C52"/>
    </sheetView>
  </sheetViews>
  <sheetFormatPr defaultRowHeight="16.5" x14ac:dyDescent="0.3"/>
  <cols>
    <col min="1" max="1" width="8.75" customWidth="1"/>
    <col min="2" max="2" width="11.75" customWidth="1"/>
    <col min="3" max="3" width="46.75" customWidth="1"/>
    <col min="4" max="4" width="9.75" customWidth="1"/>
    <col min="5" max="5" width="8.75" customWidth="1"/>
    <col min="6" max="6" width="9.75" customWidth="1"/>
    <col min="7" max="7" width="7.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" t="b">
        <v>0</v>
      </c>
    </row>
    <row r="3" spans="1:7" x14ac:dyDescent="0.3">
      <c r="A3" s="2" t="s">
        <v>13</v>
      </c>
      <c r="B3" s="2" t="s">
        <v>8</v>
      </c>
      <c r="C3" s="3" t="s">
        <v>14</v>
      </c>
      <c r="D3" s="2" t="s">
        <v>10</v>
      </c>
      <c r="E3" s="2" t="s">
        <v>11</v>
      </c>
      <c r="F3" s="2" t="s">
        <v>12</v>
      </c>
      <c r="G3" s="2" t="b">
        <v>0</v>
      </c>
    </row>
    <row r="4" spans="1:7" x14ac:dyDescent="0.3">
      <c r="A4" s="2" t="s">
        <v>15</v>
      </c>
      <c r="B4" s="2" t="s">
        <v>8</v>
      </c>
      <c r="C4" s="3" t="s">
        <v>16</v>
      </c>
      <c r="D4" s="2" t="s">
        <v>10</v>
      </c>
      <c r="E4" s="2" t="s">
        <v>11</v>
      </c>
      <c r="F4" s="2" t="s">
        <v>12</v>
      </c>
      <c r="G4" s="2" t="b">
        <v>1</v>
      </c>
    </row>
    <row r="5" spans="1:7" x14ac:dyDescent="0.3">
      <c r="A5" s="2" t="s">
        <v>17</v>
      </c>
      <c r="B5" s="2" t="s">
        <v>8</v>
      </c>
      <c r="C5" s="3" t="s">
        <v>18</v>
      </c>
      <c r="D5" s="2" t="s">
        <v>10</v>
      </c>
      <c r="E5" s="2" t="s">
        <v>11</v>
      </c>
      <c r="F5" s="2" t="s">
        <v>12</v>
      </c>
      <c r="G5" s="2" t="b">
        <v>1</v>
      </c>
    </row>
    <row r="6" spans="1:7" x14ac:dyDescent="0.3">
      <c r="A6" s="2" t="s">
        <v>19</v>
      </c>
      <c r="B6" s="2" t="s">
        <v>8</v>
      </c>
      <c r="C6" s="3" t="s">
        <v>20</v>
      </c>
      <c r="D6" s="2" t="s">
        <v>10</v>
      </c>
      <c r="E6" s="2" t="s">
        <v>21</v>
      </c>
      <c r="F6" s="2" t="s">
        <v>12</v>
      </c>
      <c r="G6" s="2" t="b">
        <v>0</v>
      </c>
    </row>
    <row r="7" spans="1:7" x14ac:dyDescent="0.3">
      <c r="A7" s="2" t="s">
        <v>22</v>
      </c>
      <c r="B7" s="2" t="s">
        <v>8</v>
      </c>
      <c r="C7" s="3" t="s">
        <v>23</v>
      </c>
      <c r="D7" s="2" t="s">
        <v>10</v>
      </c>
      <c r="E7" s="2" t="s">
        <v>21</v>
      </c>
      <c r="F7" s="2" t="s">
        <v>12</v>
      </c>
      <c r="G7" s="2" t="b">
        <v>0</v>
      </c>
    </row>
    <row r="8" spans="1:7" x14ac:dyDescent="0.3">
      <c r="A8" s="2" t="s">
        <v>24</v>
      </c>
      <c r="B8" s="2" t="s">
        <v>25</v>
      </c>
      <c r="C8" s="3" t="s">
        <v>26</v>
      </c>
      <c r="D8" s="2" t="s">
        <v>10</v>
      </c>
      <c r="E8" s="2" t="s">
        <v>27</v>
      </c>
      <c r="F8" s="2" t="s">
        <v>12</v>
      </c>
      <c r="G8" s="2" t="b">
        <v>0</v>
      </c>
    </row>
    <row r="9" spans="1:7" x14ac:dyDescent="0.3">
      <c r="A9" s="2" t="s">
        <v>28</v>
      </c>
      <c r="B9" s="2" t="s">
        <v>25</v>
      </c>
      <c r="C9" s="3" t="s">
        <v>29</v>
      </c>
      <c r="D9" s="2" t="s">
        <v>10</v>
      </c>
      <c r="E9" s="2" t="s">
        <v>27</v>
      </c>
      <c r="F9" s="2" t="s">
        <v>12</v>
      </c>
      <c r="G9" s="2" t="b">
        <v>0</v>
      </c>
    </row>
    <row r="10" spans="1:7" x14ac:dyDescent="0.3">
      <c r="A10" s="2" t="s">
        <v>30</v>
      </c>
      <c r="B10" s="2" t="s">
        <v>25</v>
      </c>
      <c r="C10" s="3" t="s">
        <v>31</v>
      </c>
      <c r="D10" s="2" t="s">
        <v>10</v>
      </c>
      <c r="E10" s="2" t="s">
        <v>27</v>
      </c>
      <c r="F10" s="2" t="s">
        <v>12</v>
      </c>
      <c r="G10" s="2" t="b">
        <v>0</v>
      </c>
    </row>
    <row r="11" spans="1:7" x14ac:dyDescent="0.3">
      <c r="A11" s="2" t="s">
        <v>32</v>
      </c>
      <c r="B11" s="2" t="s">
        <v>25</v>
      </c>
      <c r="C11" s="3" t="s">
        <v>33</v>
      </c>
      <c r="D11" s="2" t="s">
        <v>10</v>
      </c>
      <c r="E11" s="2" t="s">
        <v>11</v>
      </c>
      <c r="F11" s="2" t="s">
        <v>34</v>
      </c>
      <c r="G11" s="2" t="b">
        <v>0</v>
      </c>
    </row>
    <row r="12" spans="1:7" x14ac:dyDescent="0.3">
      <c r="A12" s="2" t="s">
        <v>35</v>
      </c>
      <c r="B12" s="2" t="s">
        <v>25</v>
      </c>
      <c r="C12" s="3" t="s">
        <v>36</v>
      </c>
      <c r="D12" s="2" t="s">
        <v>37</v>
      </c>
      <c r="E12" s="2" t="s">
        <v>11</v>
      </c>
      <c r="F12" s="2" t="s">
        <v>38</v>
      </c>
      <c r="G12" s="2" t="b">
        <v>0</v>
      </c>
    </row>
    <row r="13" spans="1:7" x14ac:dyDescent="0.3">
      <c r="A13" s="2" t="s">
        <v>39</v>
      </c>
      <c r="B13" s="2" t="s">
        <v>40</v>
      </c>
      <c r="C13" s="3" t="s">
        <v>41</v>
      </c>
      <c r="D13" s="2" t="s">
        <v>10</v>
      </c>
      <c r="E13" s="2" t="s">
        <v>21</v>
      </c>
      <c r="F13" s="2" t="s">
        <v>12</v>
      </c>
      <c r="G13" s="2" t="b">
        <v>0</v>
      </c>
    </row>
    <row r="14" spans="1:7" x14ac:dyDescent="0.3">
      <c r="A14" s="2" t="s">
        <v>42</v>
      </c>
      <c r="B14" s="2" t="s">
        <v>40</v>
      </c>
      <c r="C14" s="3" t="s">
        <v>43</v>
      </c>
      <c r="D14" s="2" t="s">
        <v>10</v>
      </c>
      <c r="E14" s="2" t="s">
        <v>11</v>
      </c>
      <c r="F14" s="2" t="s">
        <v>12</v>
      </c>
      <c r="G14" s="2" t="b">
        <v>0</v>
      </c>
    </row>
    <row r="15" spans="1:7" x14ac:dyDescent="0.3">
      <c r="A15" s="2" t="s">
        <v>44</v>
      </c>
      <c r="B15" s="2" t="s">
        <v>40</v>
      </c>
      <c r="C15" s="3" t="s">
        <v>45</v>
      </c>
      <c r="D15" s="2" t="s">
        <v>10</v>
      </c>
      <c r="E15" s="2" t="s">
        <v>27</v>
      </c>
      <c r="F15" s="2" t="s">
        <v>12</v>
      </c>
      <c r="G15" s="2" t="b">
        <v>0</v>
      </c>
    </row>
    <row r="16" spans="1:7" x14ac:dyDescent="0.3">
      <c r="A16" s="2" t="s">
        <v>46</v>
      </c>
      <c r="B16" s="2" t="s">
        <v>40</v>
      </c>
      <c r="C16" s="3" t="s">
        <v>47</v>
      </c>
      <c r="D16" s="2" t="s">
        <v>10</v>
      </c>
      <c r="E16" s="2" t="s">
        <v>11</v>
      </c>
      <c r="F16" s="2" t="s">
        <v>12</v>
      </c>
      <c r="G16" s="2" t="b">
        <v>0</v>
      </c>
    </row>
    <row r="17" spans="1:7" x14ac:dyDescent="0.3">
      <c r="A17" s="2" t="s">
        <v>48</v>
      </c>
      <c r="B17" s="2" t="s">
        <v>40</v>
      </c>
      <c r="C17" s="3" t="s">
        <v>49</v>
      </c>
      <c r="D17" s="2" t="s">
        <v>10</v>
      </c>
      <c r="E17" s="2" t="s">
        <v>11</v>
      </c>
      <c r="F17" s="2" t="s">
        <v>12</v>
      </c>
      <c r="G17" s="2" t="b">
        <v>0</v>
      </c>
    </row>
    <row r="18" spans="1:7" x14ac:dyDescent="0.3">
      <c r="A18" s="2" t="s">
        <v>50</v>
      </c>
      <c r="B18" s="2" t="s">
        <v>51</v>
      </c>
      <c r="C18" s="3" t="s">
        <v>52</v>
      </c>
      <c r="D18" s="2" t="s">
        <v>10</v>
      </c>
      <c r="E18" s="2" t="s">
        <v>11</v>
      </c>
      <c r="F18" s="2" t="s">
        <v>34</v>
      </c>
      <c r="G18" s="2" t="b">
        <v>0</v>
      </c>
    </row>
    <row r="19" spans="1:7" x14ac:dyDescent="0.3">
      <c r="A19" s="2" t="s">
        <v>53</v>
      </c>
      <c r="B19" s="2" t="s">
        <v>51</v>
      </c>
      <c r="C19" s="3" t="s">
        <v>54</v>
      </c>
      <c r="D19" s="2" t="s">
        <v>10</v>
      </c>
      <c r="E19" s="2" t="s">
        <v>11</v>
      </c>
      <c r="F19" s="2" t="s">
        <v>34</v>
      </c>
      <c r="G19" s="2" t="b">
        <v>0</v>
      </c>
    </row>
    <row r="20" spans="1:7" x14ac:dyDescent="0.3">
      <c r="A20" s="2" t="s">
        <v>55</v>
      </c>
      <c r="B20" s="2" t="s">
        <v>51</v>
      </c>
      <c r="C20" s="3" t="s">
        <v>56</v>
      </c>
      <c r="D20" s="2" t="s">
        <v>10</v>
      </c>
      <c r="E20" s="2" t="s">
        <v>11</v>
      </c>
      <c r="F20" s="2" t="s">
        <v>34</v>
      </c>
      <c r="G20" s="2" t="b">
        <v>0</v>
      </c>
    </row>
    <row r="21" spans="1:7" x14ac:dyDescent="0.3">
      <c r="A21" s="2" t="s">
        <v>57</v>
      </c>
      <c r="B21" s="2" t="s">
        <v>58</v>
      </c>
      <c r="C21" s="3" t="s">
        <v>59</v>
      </c>
      <c r="D21" s="2" t="s">
        <v>10</v>
      </c>
      <c r="E21" s="2" t="s">
        <v>27</v>
      </c>
      <c r="F21" s="2" t="s">
        <v>12</v>
      </c>
      <c r="G21" s="2" t="b">
        <v>0</v>
      </c>
    </row>
    <row r="22" spans="1:7" x14ac:dyDescent="0.3">
      <c r="A22" s="2" t="s">
        <v>60</v>
      </c>
      <c r="B22" s="2" t="s">
        <v>58</v>
      </c>
      <c r="C22" s="3" t="s">
        <v>61</v>
      </c>
      <c r="D22" s="2" t="s">
        <v>10</v>
      </c>
      <c r="E22" s="2" t="s">
        <v>27</v>
      </c>
      <c r="F22" s="2" t="s">
        <v>62</v>
      </c>
      <c r="G22" s="2" t="b">
        <v>0</v>
      </c>
    </row>
    <row r="23" spans="1:7" x14ac:dyDescent="0.3">
      <c r="A23" s="2" t="s">
        <v>63</v>
      </c>
      <c r="B23" s="2" t="s">
        <v>58</v>
      </c>
      <c r="C23" s="3" t="s">
        <v>64</v>
      </c>
      <c r="D23" s="2" t="s">
        <v>10</v>
      </c>
      <c r="E23" s="2" t="s">
        <v>27</v>
      </c>
      <c r="F23" s="2" t="s">
        <v>62</v>
      </c>
      <c r="G23" s="2" t="b">
        <v>0</v>
      </c>
    </row>
    <row r="24" spans="1:7" x14ac:dyDescent="0.3">
      <c r="A24" s="2" t="s">
        <v>65</v>
      </c>
      <c r="B24" s="2" t="s">
        <v>58</v>
      </c>
      <c r="C24" s="3" t="s">
        <v>66</v>
      </c>
      <c r="D24" s="2" t="s">
        <v>10</v>
      </c>
      <c r="E24" s="2" t="s">
        <v>27</v>
      </c>
      <c r="F24" s="2" t="s">
        <v>34</v>
      </c>
      <c r="G24" s="2" t="b">
        <v>0</v>
      </c>
    </row>
    <row r="25" spans="1:7" x14ac:dyDescent="0.3">
      <c r="A25" s="2" t="s">
        <v>67</v>
      </c>
      <c r="B25" s="2" t="s">
        <v>68</v>
      </c>
      <c r="C25" s="3" t="s">
        <v>69</v>
      </c>
      <c r="D25" s="2" t="s">
        <v>10</v>
      </c>
      <c r="E25" s="2" t="s">
        <v>27</v>
      </c>
      <c r="F25" s="2" t="s">
        <v>62</v>
      </c>
      <c r="G25" s="2" t="b">
        <v>0</v>
      </c>
    </row>
    <row r="26" spans="1:7" x14ac:dyDescent="0.3">
      <c r="A26" s="2" t="s">
        <v>70</v>
      </c>
      <c r="B26" s="2" t="s">
        <v>68</v>
      </c>
      <c r="C26" s="3" t="s">
        <v>71</v>
      </c>
      <c r="D26" s="2" t="s">
        <v>10</v>
      </c>
      <c r="E26" s="2" t="s">
        <v>27</v>
      </c>
      <c r="F26" s="2" t="s">
        <v>62</v>
      </c>
      <c r="G26" s="2" t="b">
        <v>0</v>
      </c>
    </row>
    <row r="27" spans="1:7" x14ac:dyDescent="0.3">
      <c r="A27" s="2" t="s">
        <v>72</v>
      </c>
      <c r="B27" s="2" t="s">
        <v>68</v>
      </c>
      <c r="C27" s="3" t="s">
        <v>73</v>
      </c>
      <c r="D27" s="2" t="s">
        <v>10</v>
      </c>
      <c r="E27" s="2" t="s">
        <v>27</v>
      </c>
      <c r="F27" s="2" t="s">
        <v>62</v>
      </c>
      <c r="G27" s="2" t="b">
        <v>0</v>
      </c>
    </row>
    <row r="28" spans="1:7" x14ac:dyDescent="0.3">
      <c r="A28" s="2" t="s">
        <v>74</v>
      </c>
      <c r="B28" s="2" t="s">
        <v>68</v>
      </c>
      <c r="C28" s="3" t="s">
        <v>75</v>
      </c>
      <c r="D28" s="2" t="s">
        <v>10</v>
      </c>
      <c r="E28" s="2" t="s">
        <v>27</v>
      </c>
      <c r="F28" s="2" t="s">
        <v>62</v>
      </c>
      <c r="G28" s="2" t="b">
        <v>0</v>
      </c>
    </row>
    <row r="29" spans="1:7" x14ac:dyDescent="0.3">
      <c r="A29" s="2" t="s">
        <v>76</v>
      </c>
      <c r="B29" s="2" t="s">
        <v>68</v>
      </c>
      <c r="C29" s="3" t="s">
        <v>77</v>
      </c>
      <c r="D29" s="2" t="s">
        <v>10</v>
      </c>
      <c r="E29" s="2" t="s">
        <v>11</v>
      </c>
      <c r="F29" s="2" t="s">
        <v>62</v>
      </c>
      <c r="G29" s="2" t="b">
        <v>0</v>
      </c>
    </row>
    <row r="30" spans="1:7" x14ac:dyDescent="0.3">
      <c r="A30" s="2" t="s">
        <v>78</v>
      </c>
      <c r="B30" s="2" t="s">
        <v>68</v>
      </c>
      <c r="C30" s="3" t="s">
        <v>79</v>
      </c>
      <c r="D30" s="2" t="s">
        <v>10</v>
      </c>
      <c r="E30" s="2" t="s">
        <v>11</v>
      </c>
      <c r="F30" s="2" t="s">
        <v>62</v>
      </c>
      <c r="G30" s="2" t="b">
        <v>0</v>
      </c>
    </row>
    <row r="31" spans="1:7" x14ac:dyDescent="0.3">
      <c r="A31" s="2" t="s">
        <v>80</v>
      </c>
      <c r="B31" s="2" t="s">
        <v>68</v>
      </c>
      <c r="C31" s="3" t="s">
        <v>81</v>
      </c>
      <c r="D31" s="2" t="s">
        <v>82</v>
      </c>
      <c r="E31" s="2" t="s">
        <v>27</v>
      </c>
      <c r="F31" s="2" t="s">
        <v>38</v>
      </c>
      <c r="G31" s="2" t="b">
        <v>0</v>
      </c>
    </row>
    <row r="32" spans="1:7" x14ac:dyDescent="0.3">
      <c r="A32" s="2" t="s">
        <v>83</v>
      </c>
      <c r="B32" s="2" t="s">
        <v>84</v>
      </c>
      <c r="C32" s="3" t="s">
        <v>85</v>
      </c>
      <c r="D32" s="2" t="s">
        <v>10</v>
      </c>
      <c r="E32" s="2" t="s">
        <v>11</v>
      </c>
      <c r="F32" s="2" t="s">
        <v>12</v>
      </c>
      <c r="G32" s="2" t="b">
        <v>0</v>
      </c>
    </row>
    <row r="33" spans="1:7" x14ac:dyDescent="0.3">
      <c r="A33" s="2" t="s">
        <v>86</v>
      </c>
      <c r="B33" s="2" t="s">
        <v>84</v>
      </c>
      <c r="C33" s="3" t="s">
        <v>87</v>
      </c>
      <c r="D33" s="2" t="s">
        <v>10</v>
      </c>
      <c r="E33" s="2" t="s">
        <v>11</v>
      </c>
      <c r="F33" s="2" t="s">
        <v>62</v>
      </c>
      <c r="G33" s="2" t="b">
        <v>0</v>
      </c>
    </row>
    <row r="34" spans="1:7" x14ac:dyDescent="0.3">
      <c r="A34" s="2" t="s">
        <v>88</v>
      </c>
      <c r="B34" s="2" t="s">
        <v>84</v>
      </c>
      <c r="C34" s="3" t="s">
        <v>89</v>
      </c>
      <c r="D34" s="2" t="s">
        <v>10</v>
      </c>
      <c r="E34" s="2" t="s">
        <v>11</v>
      </c>
      <c r="F34" s="2" t="s">
        <v>34</v>
      </c>
      <c r="G34" s="2" t="b">
        <v>0</v>
      </c>
    </row>
    <row r="35" spans="1:7" x14ac:dyDescent="0.3">
      <c r="A35" s="2" t="s">
        <v>90</v>
      </c>
      <c r="B35" s="2" t="s">
        <v>84</v>
      </c>
      <c r="C35" s="3" t="s">
        <v>91</v>
      </c>
      <c r="D35" s="2" t="s">
        <v>10</v>
      </c>
      <c r="E35" s="2" t="s">
        <v>11</v>
      </c>
      <c r="F35" s="2" t="s">
        <v>34</v>
      </c>
      <c r="G35" s="2" t="b">
        <v>0</v>
      </c>
    </row>
    <row r="36" spans="1:7" x14ac:dyDescent="0.3">
      <c r="A36" s="2" t="s">
        <v>92</v>
      </c>
      <c r="B36" s="2" t="s">
        <v>84</v>
      </c>
      <c r="C36" s="3" t="s">
        <v>93</v>
      </c>
      <c r="D36" s="2" t="s">
        <v>10</v>
      </c>
      <c r="E36" s="2" t="s">
        <v>11</v>
      </c>
      <c r="F36" s="2" t="s">
        <v>34</v>
      </c>
      <c r="G36" s="2" t="b">
        <v>0</v>
      </c>
    </row>
    <row r="37" spans="1:7" x14ac:dyDescent="0.3">
      <c r="A37" s="2" t="s">
        <v>94</v>
      </c>
      <c r="B37" s="2" t="s">
        <v>95</v>
      </c>
      <c r="C37" s="3" t="s">
        <v>96</v>
      </c>
      <c r="D37" s="2" t="s">
        <v>10</v>
      </c>
      <c r="E37" s="2" t="s">
        <v>11</v>
      </c>
      <c r="F37" s="2" t="s">
        <v>34</v>
      </c>
      <c r="G37" s="2" t="b">
        <v>0</v>
      </c>
    </row>
    <row r="38" spans="1:7" x14ac:dyDescent="0.3">
      <c r="A38" s="2" t="s">
        <v>97</v>
      </c>
      <c r="B38" s="2" t="s">
        <v>95</v>
      </c>
      <c r="C38" s="3" t="s">
        <v>98</v>
      </c>
      <c r="D38" s="2" t="s">
        <v>10</v>
      </c>
      <c r="E38" s="2" t="s">
        <v>11</v>
      </c>
      <c r="F38" s="2" t="s">
        <v>62</v>
      </c>
      <c r="G38" s="2" t="b">
        <v>0</v>
      </c>
    </row>
    <row r="39" spans="1:7" x14ac:dyDescent="0.3">
      <c r="A39" s="2" t="s">
        <v>99</v>
      </c>
      <c r="B39" s="2" t="s">
        <v>100</v>
      </c>
      <c r="C39" s="3" t="s">
        <v>101</v>
      </c>
      <c r="D39" s="2" t="s">
        <v>10</v>
      </c>
      <c r="E39" s="2" t="s">
        <v>11</v>
      </c>
      <c r="F39" s="2" t="s">
        <v>12</v>
      </c>
      <c r="G39" s="2" t="b">
        <v>0</v>
      </c>
    </row>
    <row r="40" spans="1:7" x14ac:dyDescent="0.3">
      <c r="A40" s="2" t="s">
        <v>102</v>
      </c>
      <c r="B40" s="2" t="s">
        <v>100</v>
      </c>
      <c r="C40" s="3" t="s">
        <v>103</v>
      </c>
      <c r="D40" s="2" t="s">
        <v>10</v>
      </c>
      <c r="E40" s="2" t="s">
        <v>11</v>
      </c>
      <c r="F40" s="2" t="s">
        <v>12</v>
      </c>
      <c r="G40" s="2" t="b">
        <v>0</v>
      </c>
    </row>
    <row r="41" spans="1:7" x14ac:dyDescent="0.3">
      <c r="A41" s="2" t="s">
        <v>104</v>
      </c>
      <c r="B41" s="2" t="s">
        <v>100</v>
      </c>
      <c r="C41" s="3" t="s">
        <v>105</v>
      </c>
      <c r="D41" s="2" t="s">
        <v>10</v>
      </c>
      <c r="E41" s="2" t="s">
        <v>11</v>
      </c>
      <c r="F41" s="2" t="s">
        <v>62</v>
      </c>
      <c r="G41" s="2" t="b">
        <v>0</v>
      </c>
    </row>
    <row r="42" spans="1:7" x14ac:dyDescent="0.3">
      <c r="A42" s="2" t="s">
        <v>106</v>
      </c>
      <c r="B42" s="2" t="s">
        <v>100</v>
      </c>
      <c r="C42" s="3" t="s">
        <v>150</v>
      </c>
      <c r="D42" s="2" t="s">
        <v>10</v>
      </c>
      <c r="E42" s="2" t="s">
        <v>11</v>
      </c>
      <c r="F42" s="2" t="s">
        <v>62</v>
      </c>
      <c r="G42" s="2" t="b">
        <v>0</v>
      </c>
    </row>
    <row r="43" spans="1:7" x14ac:dyDescent="0.3">
      <c r="A43" s="2" t="s">
        <v>107</v>
      </c>
      <c r="B43" s="2" t="s">
        <v>100</v>
      </c>
      <c r="C43" s="3" t="s">
        <v>108</v>
      </c>
      <c r="D43" s="2" t="s">
        <v>10</v>
      </c>
      <c r="E43" s="2" t="s">
        <v>11</v>
      </c>
      <c r="F43" s="2" t="s">
        <v>62</v>
      </c>
      <c r="G43" s="2" t="b">
        <v>0</v>
      </c>
    </row>
    <row r="44" spans="1:7" x14ac:dyDescent="0.3">
      <c r="A44" s="2" t="s">
        <v>109</v>
      </c>
      <c r="B44" s="2" t="s">
        <v>100</v>
      </c>
      <c r="C44" s="3" t="s">
        <v>110</v>
      </c>
      <c r="D44" s="2" t="s">
        <v>10</v>
      </c>
      <c r="E44" s="2" t="s">
        <v>11</v>
      </c>
      <c r="F44" s="2" t="s">
        <v>62</v>
      </c>
      <c r="G44" s="2" t="b">
        <v>0</v>
      </c>
    </row>
    <row r="45" spans="1:7" x14ac:dyDescent="0.3">
      <c r="A45" s="2" t="s">
        <v>111</v>
      </c>
      <c r="B45" s="2" t="s">
        <v>100</v>
      </c>
      <c r="C45" s="3" t="s">
        <v>112</v>
      </c>
      <c r="D45" s="2" t="s">
        <v>10</v>
      </c>
      <c r="E45" s="2" t="s">
        <v>11</v>
      </c>
      <c r="F45" s="2" t="s">
        <v>62</v>
      </c>
      <c r="G45" s="2" t="b">
        <v>0</v>
      </c>
    </row>
    <row r="46" spans="1:7" x14ac:dyDescent="0.3">
      <c r="A46" s="2" t="s">
        <v>113</v>
      </c>
      <c r="B46" s="2" t="s">
        <v>100</v>
      </c>
      <c r="C46" s="3" t="s">
        <v>114</v>
      </c>
      <c r="D46" s="2" t="s">
        <v>10</v>
      </c>
      <c r="E46" s="2" t="s">
        <v>11</v>
      </c>
      <c r="F46" s="2" t="s">
        <v>62</v>
      </c>
      <c r="G46" s="2" t="b">
        <v>0</v>
      </c>
    </row>
    <row r="47" spans="1:7" x14ac:dyDescent="0.3">
      <c r="A47" s="2" t="s">
        <v>115</v>
      </c>
      <c r="B47" s="2" t="s">
        <v>116</v>
      </c>
      <c r="C47" s="3" t="s">
        <v>117</v>
      </c>
      <c r="D47" s="2" t="s">
        <v>10</v>
      </c>
      <c r="E47" s="2" t="s">
        <v>11</v>
      </c>
      <c r="F47" s="2" t="s">
        <v>62</v>
      </c>
      <c r="G47" s="2" t="b">
        <v>0</v>
      </c>
    </row>
    <row r="48" spans="1:7" x14ac:dyDescent="0.3">
      <c r="A48" s="2" t="s">
        <v>118</v>
      </c>
      <c r="B48" s="2" t="s">
        <v>116</v>
      </c>
      <c r="C48" s="3" t="s">
        <v>119</v>
      </c>
      <c r="D48" s="2" t="s">
        <v>10</v>
      </c>
      <c r="E48" s="2" t="s">
        <v>11</v>
      </c>
      <c r="F48" s="2" t="s">
        <v>62</v>
      </c>
      <c r="G48" s="2" t="b">
        <v>0</v>
      </c>
    </row>
    <row r="49" spans="1:7" x14ac:dyDescent="0.3">
      <c r="A49" s="2" t="s">
        <v>120</v>
      </c>
      <c r="B49" s="2" t="s">
        <v>121</v>
      </c>
      <c r="C49" s="3" t="s">
        <v>122</v>
      </c>
      <c r="D49" s="2" t="s">
        <v>10</v>
      </c>
      <c r="E49" s="2" t="s">
        <v>27</v>
      </c>
      <c r="F49" s="2" t="s">
        <v>34</v>
      </c>
      <c r="G49" s="2" t="b">
        <v>0</v>
      </c>
    </row>
    <row r="50" spans="1:7" x14ac:dyDescent="0.3">
      <c r="A50" s="2" t="s">
        <v>123</v>
      </c>
      <c r="B50" s="2" t="s">
        <v>121</v>
      </c>
      <c r="C50" s="3" t="s">
        <v>124</v>
      </c>
      <c r="D50" s="2" t="s">
        <v>10</v>
      </c>
      <c r="E50" s="2" t="s">
        <v>11</v>
      </c>
      <c r="F50" s="2" t="s">
        <v>34</v>
      </c>
      <c r="G50" s="2" t="b">
        <v>0</v>
      </c>
    </row>
    <row r="51" spans="1:7" x14ac:dyDescent="0.3">
      <c r="A51" s="2" t="s">
        <v>125</v>
      </c>
      <c r="B51" s="2" t="s">
        <v>121</v>
      </c>
      <c r="C51" s="3" t="s">
        <v>126</v>
      </c>
      <c r="D51" s="2" t="s">
        <v>10</v>
      </c>
      <c r="E51" s="2" t="s">
        <v>11</v>
      </c>
      <c r="F51" s="2" t="s">
        <v>34</v>
      </c>
      <c r="G51" s="2" t="b">
        <v>0</v>
      </c>
    </row>
    <row r="52" spans="1:7" x14ac:dyDescent="0.3">
      <c r="A52" s="2" t="s">
        <v>127</v>
      </c>
      <c r="B52" s="2" t="s">
        <v>121</v>
      </c>
      <c r="C52" s="3" t="s">
        <v>128</v>
      </c>
      <c r="D52" s="2" t="s">
        <v>10</v>
      </c>
      <c r="E52" s="2" t="s">
        <v>129</v>
      </c>
      <c r="F52" s="2" t="s">
        <v>34</v>
      </c>
      <c r="G52" s="2" t="b">
        <v>0</v>
      </c>
    </row>
    <row r="53" spans="1:7" x14ac:dyDescent="0.3">
      <c r="A53" s="2" t="s">
        <v>130</v>
      </c>
      <c r="B53" s="2" t="s">
        <v>131</v>
      </c>
      <c r="C53" s="3" t="s">
        <v>132</v>
      </c>
      <c r="D53" s="2" t="s">
        <v>10</v>
      </c>
      <c r="E53" s="2" t="s">
        <v>11</v>
      </c>
      <c r="F53" s="2" t="s">
        <v>12</v>
      </c>
      <c r="G53" s="2" t="b">
        <v>0</v>
      </c>
    </row>
    <row r="54" spans="1:7" x14ac:dyDescent="0.3">
      <c r="A54" s="2" t="s">
        <v>133</v>
      </c>
      <c r="B54" s="2" t="s">
        <v>131</v>
      </c>
      <c r="C54" s="3" t="s">
        <v>134</v>
      </c>
      <c r="D54" s="2" t="s">
        <v>10</v>
      </c>
      <c r="E54" s="2" t="s">
        <v>11</v>
      </c>
      <c r="F54" s="2" t="s">
        <v>12</v>
      </c>
      <c r="G54" s="2" t="b">
        <v>0</v>
      </c>
    </row>
    <row r="55" spans="1:7" x14ac:dyDescent="0.3">
      <c r="A55" s="2" t="s">
        <v>135</v>
      </c>
      <c r="B55" s="2" t="s">
        <v>131</v>
      </c>
      <c r="C55" s="3" t="s">
        <v>136</v>
      </c>
      <c r="D55" s="2" t="s">
        <v>10</v>
      </c>
      <c r="E55" s="2" t="s">
        <v>27</v>
      </c>
      <c r="F55" s="2" t="s">
        <v>62</v>
      </c>
      <c r="G55" s="2" t="b">
        <v>0</v>
      </c>
    </row>
  </sheetData>
  <autoFilter ref="A1:G55" xr:uid="{00000000-0009-0000-0000-000000000000}"/>
  <phoneticPr fontId="6" type="noConversion"/>
  <conditionalFormatting sqref="A2:G300">
    <cfRule type="expression" dxfId="0" priority="1">
      <formula>$G2=TRUE</formula>
    </cfRule>
  </conditionalFormatting>
  <dataValidations count="3">
    <dataValidation type="list" allowBlank="1" showInputMessage="1" showErrorMessage="1" sqref="D2:D300" xr:uid="{00000000-0002-0000-0000-000000000000}">
      <formula1>"P0,P1,P2,미확정"</formula1>
    </dataValidation>
    <dataValidation type="list" allowBlank="1" showInputMessage="1" showErrorMessage="1" sqref="F2:F300" xr:uid="{00000000-0002-0000-0000-000001000000}">
      <formula1>"S1,S2,S3,미정"</formula1>
    </dataValidation>
    <dataValidation type="list" allowBlank="1" showInputMessage="1" showErrorMessage="1" sqref="E2:E300" xr:uid="{00000000-0002-0000-0000-000002000000}">
      <formula1>"준혁,혜빈님,공동,DB"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/>
  </sheetViews>
  <sheetFormatPr defaultRowHeight="16.5" x14ac:dyDescent="0.3"/>
  <cols>
    <col min="1" max="1" width="12.75" customWidth="1"/>
    <col min="2" max="8" width="9.75" customWidth="1"/>
  </cols>
  <sheetData>
    <row r="1" spans="1:6" ht="20.25" x14ac:dyDescent="0.35">
      <c r="A1" s="4" t="s">
        <v>137</v>
      </c>
    </row>
    <row r="2" spans="1:6" x14ac:dyDescent="0.3">
      <c r="A2" s="5" t="s">
        <v>138</v>
      </c>
    </row>
    <row r="4" spans="1:6" x14ac:dyDescent="0.3">
      <c r="A4" s="6" t="s">
        <v>5</v>
      </c>
      <c r="B4" s="6" t="s">
        <v>139</v>
      </c>
      <c r="C4" s="6" t="s">
        <v>6</v>
      </c>
      <c r="D4" s="6" t="s">
        <v>140</v>
      </c>
    </row>
    <row r="5" spans="1:6" x14ac:dyDescent="0.3">
      <c r="A5" s="2" t="s">
        <v>12</v>
      </c>
      <c r="B5" s="2">
        <f>COUNTIF(백로그!$F$2:$F$300,A5)</f>
        <v>20</v>
      </c>
      <c r="C5" s="2">
        <f>COUNTIFS(백로그!$F$2:$F$300,A5,백로그!$G$2:$G$300,TRUE)</f>
        <v>2</v>
      </c>
      <c r="D5" s="7">
        <f>IFERROR(C5/B5,0)</f>
        <v>0.1</v>
      </c>
    </row>
    <row r="6" spans="1:6" x14ac:dyDescent="0.3">
      <c r="A6" s="2" t="s">
        <v>62</v>
      </c>
      <c r="B6" s="2">
        <f>COUNTIF(백로그!$F$2:$F$300,A6)</f>
        <v>19</v>
      </c>
      <c r="C6" s="2">
        <f>COUNTIFS(백로그!$F$2:$F$300,A6,백로그!$G$2:$G$300,TRUE)</f>
        <v>0</v>
      </c>
      <c r="D6" s="7">
        <f>IFERROR(C6/B6,0)</f>
        <v>0</v>
      </c>
    </row>
    <row r="7" spans="1:6" x14ac:dyDescent="0.3">
      <c r="A7" s="2" t="s">
        <v>34</v>
      </c>
      <c r="B7" s="2">
        <f>COUNTIF(백로그!$F$2:$F$300,A7)</f>
        <v>13</v>
      </c>
      <c r="C7" s="2">
        <f>COUNTIFS(백로그!$F$2:$F$300,A7,백로그!$G$2:$G$300,TRUE)</f>
        <v>0</v>
      </c>
      <c r="D7" s="7">
        <f>IFERROR(C7/B7,0)</f>
        <v>0</v>
      </c>
    </row>
    <row r="8" spans="1:6" x14ac:dyDescent="0.3">
      <c r="A8" s="2" t="s">
        <v>38</v>
      </c>
      <c r="B8" s="2">
        <f>COUNTIF(백로그!$F$2:$F$300,A8)</f>
        <v>2</v>
      </c>
      <c r="C8" s="2">
        <f>COUNTIFS(백로그!$F$2:$F$300,A8,백로그!$G$2:$G$300,TRUE)</f>
        <v>0</v>
      </c>
      <c r="D8" s="7">
        <f>IFERROR(C8/B8,0)</f>
        <v>0</v>
      </c>
    </row>
    <row r="9" spans="1:6" x14ac:dyDescent="0.3">
      <c r="A9" s="8" t="s">
        <v>139</v>
      </c>
      <c r="B9" s="8">
        <f>COUNTA(백로그!$A$2:$A$300)</f>
        <v>54</v>
      </c>
      <c r="C9" s="8">
        <f>COUNTIF(백로그!$G$2:$G$300,TRUE)</f>
        <v>2</v>
      </c>
      <c r="D9" s="9">
        <f>IFERROR(C9/B9,0)</f>
        <v>3.7037037037037035E-2</v>
      </c>
    </row>
    <row r="11" spans="1:6" x14ac:dyDescent="0.3">
      <c r="A11" s="6" t="s">
        <v>141</v>
      </c>
      <c r="B11" s="6" t="s">
        <v>11</v>
      </c>
      <c r="C11" s="6" t="s">
        <v>27</v>
      </c>
      <c r="D11" s="6" t="s">
        <v>129</v>
      </c>
      <c r="E11" s="6" t="s">
        <v>21</v>
      </c>
      <c r="F11" s="6" t="s">
        <v>142</v>
      </c>
    </row>
    <row r="12" spans="1:6" x14ac:dyDescent="0.3">
      <c r="A12" s="2" t="s">
        <v>12</v>
      </c>
      <c r="B12" s="2">
        <f>COUNTIFS(백로그!$F$2:$F$300,$A12,백로그!$E$2:$E$300,B$11)</f>
        <v>12</v>
      </c>
      <c r="C12" s="2">
        <f>COUNTIFS(백로그!$F$2:$F$300,$A12,백로그!$E$2:$E$300,C$11)</f>
        <v>5</v>
      </c>
      <c r="D12" s="2">
        <f>COUNTIFS(백로그!$F$2:$F$300,$A12,백로그!$E$2:$E$300,D$11)</f>
        <v>0</v>
      </c>
      <c r="E12" s="2">
        <f>COUNTIFS(백로그!$F$2:$F$300,$A12,백로그!$E$2:$E$300,E$11)</f>
        <v>3</v>
      </c>
      <c r="F12" s="8">
        <f>SUM(B12:E12)</f>
        <v>20</v>
      </c>
    </row>
    <row r="13" spans="1:6" x14ac:dyDescent="0.3">
      <c r="A13" s="2" t="s">
        <v>62</v>
      </c>
      <c r="B13" s="2">
        <f>COUNTIFS(백로그!$F$2:$F$300,$A13,백로그!$E$2:$E$300,B$11)</f>
        <v>12</v>
      </c>
      <c r="C13" s="2">
        <f>COUNTIFS(백로그!$F$2:$F$300,$A13,백로그!$E$2:$E$300,C$11)</f>
        <v>7</v>
      </c>
      <c r="D13" s="2">
        <f>COUNTIFS(백로그!$F$2:$F$300,$A13,백로그!$E$2:$E$300,D$11)</f>
        <v>0</v>
      </c>
      <c r="E13" s="2">
        <f>COUNTIFS(백로그!$F$2:$F$300,$A13,백로그!$E$2:$E$300,E$11)</f>
        <v>0</v>
      </c>
      <c r="F13" s="8">
        <f>SUM(B13:E13)</f>
        <v>19</v>
      </c>
    </row>
    <row r="14" spans="1:6" x14ac:dyDescent="0.3">
      <c r="A14" s="2" t="s">
        <v>34</v>
      </c>
      <c r="B14" s="2">
        <f>COUNTIFS(백로그!$F$2:$F$300,$A14,백로그!$E$2:$E$300,B$11)</f>
        <v>10</v>
      </c>
      <c r="C14" s="2">
        <f>COUNTIFS(백로그!$F$2:$F$300,$A14,백로그!$E$2:$E$300,C$11)</f>
        <v>2</v>
      </c>
      <c r="D14" s="2">
        <f>COUNTIFS(백로그!$F$2:$F$300,$A14,백로그!$E$2:$E$300,D$11)</f>
        <v>1</v>
      </c>
      <c r="E14" s="2">
        <f>COUNTIFS(백로그!$F$2:$F$300,$A14,백로그!$E$2:$E$300,E$11)</f>
        <v>0</v>
      </c>
      <c r="F14" s="8">
        <f>SUM(B14:E14)</f>
        <v>13</v>
      </c>
    </row>
    <row r="15" spans="1:6" x14ac:dyDescent="0.3">
      <c r="A15" s="2" t="s">
        <v>38</v>
      </c>
      <c r="B15" s="2">
        <f>COUNTIFS(백로그!$F$2:$F$300,$A15,백로그!$E$2:$E$300,B$11)</f>
        <v>1</v>
      </c>
      <c r="C15" s="2">
        <f>COUNTIFS(백로그!$F$2:$F$300,$A15,백로그!$E$2:$E$300,C$11)</f>
        <v>1</v>
      </c>
      <c r="D15" s="2">
        <f>COUNTIFS(백로그!$F$2:$F$300,$A15,백로그!$E$2:$E$300,D$11)</f>
        <v>0</v>
      </c>
      <c r="E15" s="2">
        <f>COUNTIFS(백로그!$F$2:$F$300,$A15,백로그!$E$2:$E$300,E$11)</f>
        <v>0</v>
      </c>
      <c r="F15" s="8">
        <f>SUM(B15:E15)</f>
        <v>2</v>
      </c>
    </row>
    <row r="16" spans="1:6" x14ac:dyDescent="0.3">
      <c r="A16" s="8" t="s">
        <v>142</v>
      </c>
      <c r="B16" s="8">
        <f>SUM(B12:B15)</f>
        <v>35</v>
      </c>
      <c r="C16" s="8">
        <f>SUM(C12:C15)</f>
        <v>15</v>
      </c>
      <c r="D16" s="8">
        <f>SUM(D12:D15)</f>
        <v>1</v>
      </c>
      <c r="E16" s="8">
        <f>SUM(E12:E15)</f>
        <v>3</v>
      </c>
      <c r="F16" s="8">
        <f>SUM(F12:F15)</f>
        <v>54</v>
      </c>
    </row>
    <row r="17" spans="1:2" x14ac:dyDescent="0.3">
      <c r="A17" s="8" t="s">
        <v>143</v>
      </c>
      <c r="B17" s="8" t="str">
        <f>IF(AND(F16=B9,SUM(B5:B8)=B9),"일치","불일치")</f>
        <v>일치</v>
      </c>
    </row>
    <row r="19" spans="1:2" x14ac:dyDescent="0.3">
      <c r="A19" s="10" t="s">
        <v>144</v>
      </c>
    </row>
    <row r="20" spans="1:2" x14ac:dyDescent="0.3">
      <c r="A20" s="5" t="s">
        <v>145</v>
      </c>
    </row>
    <row r="21" spans="1:2" x14ac:dyDescent="0.3">
      <c r="A21" s="5" t="s">
        <v>146</v>
      </c>
    </row>
    <row r="22" spans="1:2" x14ac:dyDescent="0.3">
      <c r="A22" s="5" t="s">
        <v>147</v>
      </c>
    </row>
    <row r="23" spans="1:2" x14ac:dyDescent="0.3">
      <c r="A23" s="5" t="s">
        <v>148</v>
      </c>
    </row>
    <row r="24" spans="1:2" x14ac:dyDescent="0.3">
      <c r="A24" s="5" t="s">
        <v>149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백로그</vt:lpstr>
      <vt:lpstr>요약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이준혁</cp:lastModifiedBy>
  <dcterms:created xsi:type="dcterms:W3CDTF">2026-10-11T12:00:20Z</dcterms:created>
  <dcterms:modified xsi:type="dcterms:W3CDTF">2026-10-11T12:06:00Z</dcterms:modified>
</cp:coreProperties>
</file>