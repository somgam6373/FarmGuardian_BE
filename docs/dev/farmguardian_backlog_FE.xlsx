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armGuardian\docs\dev\"/>
    </mc:Choice>
  </mc:AlternateContent>
  <xr:revisionPtr revIDLastSave="0" documentId="11_44556635CDDF383279F7E2CAD7C5242FE312505D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백로그" sheetId="1" r:id="rId1"/>
    <sheet name="요약" sheetId="2" r:id="rId2"/>
  </sheets>
  <definedNames>
    <definedName name="_xlnm._FilterDatabase" localSheetId="0" hidden="1">백로그!$A$1:$G$32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E15" i="2"/>
  <c r="D15" i="2"/>
  <c r="C15" i="2"/>
  <c r="C16" i="2" s="1"/>
  <c r="B15" i="2"/>
  <c r="F15" i="2" s="1"/>
  <c r="F14" i="2"/>
  <c r="E14" i="2"/>
  <c r="D14" i="2"/>
  <c r="C14" i="2"/>
  <c r="B14" i="2"/>
  <c r="E13" i="2"/>
  <c r="F13" i="2" s="1"/>
  <c r="D13" i="2"/>
  <c r="C13" i="2"/>
  <c r="B13" i="2"/>
  <c r="E12" i="2"/>
  <c r="E16" i="2" s="1"/>
  <c r="D12" i="2"/>
  <c r="D16" i="2" s="1"/>
  <c r="C12" i="2"/>
  <c r="B12" i="2"/>
  <c r="C9" i="2"/>
  <c r="D9" i="2" s="1"/>
  <c r="B9" i="2"/>
  <c r="D8" i="2"/>
  <c r="C8" i="2"/>
  <c r="B8" i="2"/>
  <c r="C7" i="2"/>
  <c r="D7" i="2" s="1"/>
  <c r="B7" i="2"/>
  <c r="D6" i="2"/>
  <c r="C6" i="2"/>
  <c r="B6" i="2"/>
  <c r="C5" i="2"/>
  <c r="D5" i="2" s="1"/>
  <c r="B5" i="2"/>
  <c r="F12" i="2" l="1"/>
  <c r="F16" i="2" s="1"/>
  <c r="B17" i="2" s="1"/>
</calcChain>
</file>

<file path=xl/sharedStrings.xml><?xml version="1.0" encoding="utf-8"?>
<sst xmlns="http://schemas.openxmlformats.org/spreadsheetml/2006/main" count="191" uniqueCount="98">
  <si>
    <t>ID</t>
  </si>
  <si>
    <t>분류</t>
  </si>
  <si>
    <t>작업</t>
  </si>
  <si>
    <t>우선순위</t>
  </si>
  <si>
    <t>담당</t>
  </si>
  <si>
    <t>스프린트</t>
  </si>
  <si>
    <t>완료</t>
  </si>
  <si>
    <t>FE-01</t>
  </si>
  <si>
    <t>공통</t>
  </si>
  <si>
    <t>프로젝트 셋업·반응형 레이아웃</t>
  </si>
  <si>
    <t>P0</t>
  </si>
  <si>
    <t>S1</t>
  </si>
  <si>
    <t>FE-02</t>
  </si>
  <si>
    <t>하단 탭 내비게이션 (홈·병해충·조회수정·프로필)</t>
  </si>
  <si>
    <t>FE-03</t>
  </si>
  <si>
    <t>API 연동 공통 처리 (토큰·에러)</t>
  </si>
  <si>
    <t>FE-04</t>
  </si>
  <si>
    <t>판정 상태 표시 컴포넌트</t>
  </si>
  <si>
    <t>FE-05</t>
  </si>
  <si>
    <t>필지·구역 도형(SVG) 표시 컴포넌트</t>
  </si>
  <si>
    <t>FE-06</t>
  </si>
  <si>
    <t>온보딩</t>
  </si>
  <si>
    <t>가입·로그인 화면 구현 (필지 선택 포함)</t>
  </si>
  <si>
    <t>S3</t>
  </si>
  <si>
    <t>FE-07</t>
  </si>
  <si>
    <t>온보딩 흐름·진입 제어 (완료 전 탭 잠금)</t>
  </si>
  <si>
    <t>FE-08</t>
  </si>
  <si>
    <t>주소 검색 화면</t>
  </si>
  <si>
    <t>S2</t>
  </si>
  <si>
    <t>FE-09</t>
  </si>
  <si>
    <t>필지 선택·밭 등록 화면</t>
  </si>
  <si>
    <t>FE-10</t>
  </si>
  <si>
    <t>구역 나누기 화면 (균등·비율)</t>
  </si>
  <si>
    <t>FE-11</t>
  </si>
  <si>
    <t>수동 구역 등록 (BE 결정에 따라)</t>
  </si>
  <si>
    <t>미확정</t>
  </si>
  <si>
    <t>미정</t>
  </si>
  <si>
    <t>FE-12</t>
  </si>
  <si>
    <t>과거 살포 입력·누락 없음 확인</t>
  </si>
  <si>
    <t>FE-13</t>
  </si>
  <si>
    <t>홈</t>
  </si>
  <si>
    <t>내 밭 화면 (밭 추가 포함)</t>
  </si>
  <si>
    <t>FE-14</t>
  </si>
  <si>
    <t>구역 상세 화면 (편중도·최근 판정)</t>
  </si>
  <si>
    <t>FE-15</t>
  </si>
  <si>
    <t>병해충</t>
  </si>
  <si>
    <t>구역·병해충 선택 화면 (증상 부위·도감·이름 검색)</t>
  </si>
  <si>
    <t>FE-16</t>
  </si>
  <si>
    <t>매개충 안내</t>
  </si>
  <si>
    <t>FE-17</t>
  </si>
  <si>
    <t>약제 목록·선택 화면</t>
  </si>
  <si>
    <t>FE-18</t>
  </si>
  <si>
    <t>판정 결과 화면 (4체크·근거)</t>
  </si>
  <si>
    <t>FE-19</t>
  </si>
  <si>
    <t>대안 약제·농업기술센터 안내</t>
  </si>
  <si>
    <t>FE-20</t>
  </si>
  <si>
    <t>판정 화면 날씨 표시</t>
  </si>
  <si>
    <t>FE-21</t>
  </si>
  <si>
    <t>고정 안내 문구 반영 (면책·팜맵·횟수 기준)</t>
  </si>
  <si>
    <t>FE-22</t>
  </si>
  <si>
    <t>살포 기록 저장 (중복 확인 포함)</t>
  </si>
  <si>
    <t>FE-23</t>
  </si>
  <si>
    <t>조회수정</t>
  </si>
  <si>
    <t>이력 목록·취소 (과거 살포 추가 포함)</t>
  </si>
  <si>
    <t>FE-24</t>
  </si>
  <si>
    <t>구역 수정 (작물·정식일·누락 없음)</t>
  </si>
  <si>
    <t>FE-25</t>
  </si>
  <si>
    <t>밭 삭제</t>
  </si>
  <si>
    <t>FE-26</t>
  </si>
  <si>
    <t>프로필</t>
  </si>
  <si>
    <t>출처·면책 안내</t>
  </si>
  <si>
    <t>FE-27</t>
  </si>
  <si>
    <t>로그아웃</t>
  </si>
  <si>
    <t>FE-28</t>
  </si>
  <si>
    <t>회원 탈퇴</t>
  </si>
  <si>
    <t>FE-29</t>
  </si>
  <si>
    <t>협의</t>
  </si>
  <si>
    <t>BE 협의 사항 확정</t>
  </si>
  <si>
    <t>FE-30</t>
  </si>
  <si>
    <t>QA</t>
  </si>
  <si>
    <t>시연 흐름 리허설</t>
  </si>
  <si>
    <t>FE-31</t>
  </si>
  <si>
    <t>모바일 QA</t>
  </si>
  <si>
    <t>팜가디언 FE 백로그 현황</t>
  </si>
  <si>
    <t>숫자는 '백로그' 시트에서 자동 계산된다.</t>
  </si>
  <si>
    <t>전체</t>
  </si>
  <si>
    <t>진행률</t>
  </si>
  <si>
    <t>스프린트 \ 우선순위</t>
  </si>
  <si>
    <t>P1</t>
  </si>
  <si>
    <t>P2</t>
  </si>
  <si>
    <t>합계</t>
  </si>
  <si>
    <t>검산</t>
  </si>
  <si>
    <t>안내</t>
  </si>
  <si>
    <t>우선순위: P0 첫 버전 필수 · P1 P0 후 검토 · P2 고도화 · 미확정 확인 후 결정</t>
  </si>
  <si>
    <t>완료: 체크하면 행이 초록색. 체크박스는 Microsoft 365 엑셀에서 보이고, 이전 버전에서는 TRUE/FALSE로 보인다</t>
  </si>
  <si>
    <t>새 작업: 마지막 행을 복사해 아래에 붙여넣고 ID를 다음 번호로 (체크박스도 같이 복사됨). 목록 밖 값이면 검산이 '불일치'</t>
  </si>
  <si>
    <t>담당은 프론트 팀이 채운다. 스프린트는 BE 실제 API가 나오는 스프린트 기준 제안값. 탭: 홈·병해충·조회수정·프로필, 첫 사용은 온보딩</t>
  </si>
  <si>
    <t>기준: PRD.md, docs/dev 설계 문서 (2026-10-11 개정)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</si>
</sst>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4"/>
      <color theme="1"/>
      <name val="맑은 고딕"/>
      <family val="2"/>
    </font>
    <font>
      <sz val="9"/>
      <color rgb="FF586760"/>
      <name val="맑은 고딕"/>
      <family val="2"/>
    </font>
    <font>
      <b/>
      <sz val="10"/>
      <color theme="1"/>
      <name val="맑은 고딕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45"/>
        <bgColor indexed="64"/>
      </patternFill>
    </fill>
    <fill>
      <patternFill patternType="solid">
        <fgColor rgb="FFE3EAE6"/>
        <bgColor indexed="64"/>
      </patternFill>
    </fill>
  </fills>
  <borders count="2">
    <border>
      <left/>
      <right/>
      <top/>
      <bottom/>
      <diagonal/>
    </border>
    <border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/>
  </cellXfs>
  <cellStyles count="1">
    <cellStyle name="표준" xfId="0" builtinId="0"/>
  </cellStyles>
  <dxfs count="1">
    <dxf>
      <fill>
        <patternFill>
          <bgColor rgb="FFDCEF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1" topLeftCell="A2" activePane="bottomLeft" state="frozen"/>
      <selection pane="bottomLeft" activeCell="S18" sqref="S18"/>
    </sheetView>
  </sheetViews>
  <sheetFormatPr defaultRowHeight="16.5" x14ac:dyDescent="0.3"/>
  <cols>
    <col min="1" max="1" width="8.75" customWidth="1"/>
    <col min="2" max="2" width="11.75" customWidth="1"/>
    <col min="3" max="3" width="46.75" customWidth="1"/>
    <col min="4" max="4" width="9.75" customWidth="1"/>
    <col min="5" max="5" width="8.75" customWidth="1"/>
    <col min="6" max="6" width="9.75" customWidth="1"/>
    <col min="7" max="7" width="7.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 t="s">
        <v>9</v>
      </c>
      <c r="D2" s="2" t="s">
        <v>10</v>
      </c>
      <c r="E2" s="2"/>
      <c r="F2" s="2" t="s">
        <v>11</v>
      </c>
      <c r="G2" s="2" t="b">
        <v>0</v>
      </c>
    </row>
    <row r="3" spans="1:7" x14ac:dyDescent="0.3">
      <c r="A3" s="2" t="s">
        <v>12</v>
      </c>
      <c r="B3" s="2" t="s">
        <v>8</v>
      </c>
      <c r="C3" s="3" t="s">
        <v>13</v>
      </c>
      <c r="D3" s="2" t="s">
        <v>10</v>
      </c>
      <c r="E3" s="2"/>
      <c r="F3" s="2" t="s">
        <v>11</v>
      </c>
      <c r="G3" s="2" t="b">
        <v>0</v>
      </c>
    </row>
    <row r="4" spans="1:7" x14ac:dyDescent="0.3">
      <c r="A4" s="2" t="s">
        <v>14</v>
      </c>
      <c r="B4" s="2" t="s">
        <v>8</v>
      </c>
      <c r="C4" s="3" t="s">
        <v>15</v>
      </c>
      <c r="D4" s="2" t="s">
        <v>10</v>
      </c>
      <c r="E4" s="2"/>
      <c r="F4" s="2" t="s">
        <v>11</v>
      </c>
      <c r="G4" s="2" t="b">
        <v>0</v>
      </c>
    </row>
    <row r="5" spans="1:7" x14ac:dyDescent="0.3">
      <c r="A5" s="2" t="s">
        <v>16</v>
      </c>
      <c r="B5" s="2" t="s">
        <v>8</v>
      </c>
      <c r="C5" s="3" t="s">
        <v>17</v>
      </c>
      <c r="D5" s="2" t="s">
        <v>10</v>
      </c>
      <c r="E5" s="2"/>
      <c r="F5" s="2" t="s">
        <v>11</v>
      </c>
      <c r="G5" s="2" t="b">
        <v>0</v>
      </c>
    </row>
    <row r="6" spans="1:7" x14ac:dyDescent="0.3">
      <c r="A6" s="2" t="s">
        <v>18</v>
      </c>
      <c r="B6" s="2" t="s">
        <v>8</v>
      </c>
      <c r="C6" s="3" t="s">
        <v>19</v>
      </c>
      <c r="D6" s="2" t="s">
        <v>10</v>
      </c>
      <c r="E6" s="2"/>
      <c r="F6" s="2" t="s">
        <v>11</v>
      </c>
      <c r="G6" s="2" t="b">
        <v>0</v>
      </c>
    </row>
    <row r="7" spans="1:7" x14ac:dyDescent="0.3">
      <c r="A7" s="2" t="s">
        <v>20</v>
      </c>
      <c r="B7" s="2" t="s">
        <v>21</v>
      </c>
      <c r="C7" s="3" t="s">
        <v>22</v>
      </c>
      <c r="D7" s="2" t="s">
        <v>10</v>
      </c>
      <c r="E7" s="2"/>
      <c r="F7" s="2" t="s">
        <v>23</v>
      </c>
      <c r="G7" s="2" t="b">
        <v>0</v>
      </c>
    </row>
    <row r="8" spans="1:7" x14ac:dyDescent="0.3">
      <c r="A8" s="2" t="s">
        <v>24</v>
      </c>
      <c r="B8" s="2" t="s">
        <v>21</v>
      </c>
      <c r="C8" s="3" t="s">
        <v>25</v>
      </c>
      <c r="D8" s="2" t="s">
        <v>10</v>
      </c>
      <c r="E8" s="2"/>
      <c r="F8" s="2" t="s">
        <v>23</v>
      </c>
      <c r="G8" s="2" t="b">
        <v>0</v>
      </c>
    </row>
    <row r="9" spans="1:7" x14ac:dyDescent="0.3">
      <c r="A9" s="2" t="s">
        <v>26</v>
      </c>
      <c r="B9" s="2" t="s">
        <v>21</v>
      </c>
      <c r="C9" s="3" t="s">
        <v>27</v>
      </c>
      <c r="D9" s="2" t="s">
        <v>10</v>
      </c>
      <c r="E9" s="2"/>
      <c r="F9" s="2" t="s">
        <v>28</v>
      </c>
      <c r="G9" s="2" t="b">
        <v>0</v>
      </c>
    </row>
    <row r="10" spans="1:7" x14ac:dyDescent="0.3">
      <c r="A10" s="2" t="s">
        <v>29</v>
      </c>
      <c r="B10" s="2" t="s">
        <v>21</v>
      </c>
      <c r="C10" s="3" t="s">
        <v>30</v>
      </c>
      <c r="D10" s="2" t="s">
        <v>10</v>
      </c>
      <c r="E10" s="2"/>
      <c r="F10" s="2" t="s">
        <v>28</v>
      </c>
      <c r="G10" s="2" t="b">
        <v>0</v>
      </c>
    </row>
    <row r="11" spans="1:7" x14ac:dyDescent="0.3">
      <c r="A11" s="2" t="s">
        <v>31</v>
      </c>
      <c r="B11" s="2" t="s">
        <v>21</v>
      </c>
      <c r="C11" s="3" t="s">
        <v>32</v>
      </c>
      <c r="D11" s="2" t="s">
        <v>10</v>
      </c>
      <c r="E11" s="2"/>
      <c r="F11" s="2" t="s">
        <v>28</v>
      </c>
      <c r="G11" s="2" t="b">
        <v>0</v>
      </c>
    </row>
    <row r="12" spans="1:7" x14ac:dyDescent="0.3">
      <c r="A12" s="2" t="s">
        <v>33</v>
      </c>
      <c r="B12" s="2" t="s">
        <v>21</v>
      </c>
      <c r="C12" s="3" t="s">
        <v>34</v>
      </c>
      <c r="D12" s="2" t="s">
        <v>35</v>
      </c>
      <c r="E12" s="2"/>
      <c r="F12" s="2" t="s">
        <v>36</v>
      </c>
      <c r="G12" s="2" t="b">
        <v>0</v>
      </c>
    </row>
    <row r="13" spans="1:7" x14ac:dyDescent="0.3">
      <c r="A13" s="2" t="s">
        <v>37</v>
      </c>
      <c r="B13" s="2" t="s">
        <v>21</v>
      </c>
      <c r="C13" s="3" t="s">
        <v>38</v>
      </c>
      <c r="D13" s="2" t="s">
        <v>10</v>
      </c>
      <c r="E13" s="2"/>
      <c r="F13" s="2" t="s">
        <v>28</v>
      </c>
      <c r="G13" s="2" t="b">
        <v>0</v>
      </c>
    </row>
    <row r="14" spans="1:7" x14ac:dyDescent="0.3">
      <c r="A14" s="2" t="s">
        <v>39</v>
      </c>
      <c r="B14" s="2" t="s">
        <v>40</v>
      </c>
      <c r="C14" s="3" t="s">
        <v>41</v>
      </c>
      <c r="D14" s="2" t="s">
        <v>10</v>
      </c>
      <c r="E14" s="2"/>
      <c r="F14" s="2" t="s">
        <v>28</v>
      </c>
      <c r="G14" s="2" t="b">
        <v>0</v>
      </c>
    </row>
    <row r="15" spans="1:7" x14ac:dyDescent="0.3">
      <c r="A15" s="2" t="s">
        <v>42</v>
      </c>
      <c r="B15" s="2" t="s">
        <v>40</v>
      </c>
      <c r="C15" s="3" t="s">
        <v>43</v>
      </c>
      <c r="D15" s="2" t="s">
        <v>10</v>
      </c>
      <c r="E15" s="2"/>
      <c r="F15" s="2" t="s">
        <v>28</v>
      </c>
      <c r="G15" s="2" t="b">
        <v>0</v>
      </c>
    </row>
    <row r="16" spans="1:7" x14ac:dyDescent="0.3">
      <c r="A16" s="2" t="s">
        <v>44</v>
      </c>
      <c r="B16" s="2" t="s">
        <v>45</v>
      </c>
      <c r="C16" s="3" t="s">
        <v>46</v>
      </c>
      <c r="D16" s="2" t="s">
        <v>10</v>
      </c>
      <c r="E16" s="2"/>
      <c r="F16" s="2" t="s">
        <v>23</v>
      </c>
      <c r="G16" s="2" t="b">
        <v>0</v>
      </c>
    </row>
    <row r="17" spans="1:7" x14ac:dyDescent="0.3">
      <c r="A17" s="2" t="s">
        <v>47</v>
      </c>
      <c r="B17" s="2" t="s">
        <v>45</v>
      </c>
      <c r="C17" s="3" t="s">
        <v>48</v>
      </c>
      <c r="D17" s="2" t="s">
        <v>10</v>
      </c>
      <c r="E17" s="2"/>
      <c r="F17" s="2" t="s">
        <v>23</v>
      </c>
      <c r="G17" s="2" t="b">
        <v>0</v>
      </c>
    </row>
    <row r="18" spans="1:7" x14ac:dyDescent="0.3">
      <c r="A18" s="2" t="s">
        <v>49</v>
      </c>
      <c r="B18" s="2" t="s">
        <v>45</v>
      </c>
      <c r="C18" s="3" t="s">
        <v>50</v>
      </c>
      <c r="D18" s="2" t="s">
        <v>10</v>
      </c>
      <c r="E18" s="2"/>
      <c r="F18" s="2" t="s">
        <v>28</v>
      </c>
      <c r="G18" s="2" t="b">
        <v>0</v>
      </c>
    </row>
    <row r="19" spans="1:7" x14ac:dyDescent="0.3">
      <c r="A19" s="2" t="s">
        <v>51</v>
      </c>
      <c r="B19" s="2" t="s">
        <v>45</v>
      </c>
      <c r="C19" s="3" t="s">
        <v>52</v>
      </c>
      <c r="D19" s="2" t="s">
        <v>10</v>
      </c>
      <c r="E19" s="2"/>
      <c r="F19" s="2" t="s">
        <v>28</v>
      </c>
      <c r="G19" s="2" t="b">
        <v>0</v>
      </c>
    </row>
    <row r="20" spans="1:7" x14ac:dyDescent="0.3">
      <c r="A20" s="2" t="s">
        <v>53</v>
      </c>
      <c r="B20" s="2" t="s">
        <v>45</v>
      </c>
      <c r="C20" s="3" t="s">
        <v>54</v>
      </c>
      <c r="D20" s="2" t="s">
        <v>10</v>
      </c>
      <c r="E20" s="2"/>
      <c r="F20" s="2" t="s">
        <v>28</v>
      </c>
      <c r="G20" s="2" t="b">
        <v>0</v>
      </c>
    </row>
    <row r="21" spans="1:7" x14ac:dyDescent="0.3">
      <c r="A21" s="2" t="s">
        <v>55</v>
      </c>
      <c r="B21" s="2" t="s">
        <v>45</v>
      </c>
      <c r="C21" s="3" t="s">
        <v>56</v>
      </c>
      <c r="D21" s="2" t="s">
        <v>10</v>
      </c>
      <c r="E21" s="2"/>
      <c r="F21" s="2" t="s">
        <v>23</v>
      </c>
      <c r="G21" s="2" t="b">
        <v>0</v>
      </c>
    </row>
    <row r="22" spans="1:7" x14ac:dyDescent="0.3">
      <c r="A22" s="2" t="s">
        <v>57</v>
      </c>
      <c r="B22" s="2" t="s">
        <v>45</v>
      </c>
      <c r="C22" s="3" t="s">
        <v>58</v>
      </c>
      <c r="D22" s="2" t="s">
        <v>10</v>
      </c>
      <c r="E22" s="2"/>
      <c r="F22" s="2" t="s">
        <v>28</v>
      </c>
      <c r="G22" s="2" t="b">
        <v>0</v>
      </c>
    </row>
    <row r="23" spans="1:7" x14ac:dyDescent="0.3">
      <c r="A23" s="2" t="s">
        <v>59</v>
      </c>
      <c r="B23" s="2" t="s">
        <v>45</v>
      </c>
      <c r="C23" s="3" t="s">
        <v>60</v>
      </c>
      <c r="D23" s="2" t="s">
        <v>10</v>
      </c>
      <c r="E23" s="2"/>
      <c r="F23" s="2" t="s">
        <v>28</v>
      </c>
      <c r="G23" s="2" t="b">
        <v>0</v>
      </c>
    </row>
    <row r="24" spans="1:7" x14ac:dyDescent="0.3">
      <c r="A24" s="2" t="s">
        <v>61</v>
      </c>
      <c r="B24" s="2" t="s">
        <v>62</v>
      </c>
      <c r="C24" s="3" t="s">
        <v>63</v>
      </c>
      <c r="D24" s="2" t="s">
        <v>10</v>
      </c>
      <c r="E24" s="2"/>
      <c r="F24" s="2" t="s">
        <v>28</v>
      </c>
      <c r="G24" s="2" t="b">
        <v>0</v>
      </c>
    </row>
    <row r="25" spans="1:7" x14ac:dyDescent="0.3">
      <c r="A25" s="2" t="s">
        <v>64</v>
      </c>
      <c r="B25" s="2" t="s">
        <v>62</v>
      </c>
      <c r="C25" s="3" t="s">
        <v>65</v>
      </c>
      <c r="D25" s="2" t="s">
        <v>10</v>
      </c>
      <c r="E25" s="2"/>
      <c r="F25" s="2" t="s">
        <v>28</v>
      </c>
      <c r="G25" s="2" t="b">
        <v>0</v>
      </c>
    </row>
    <row r="26" spans="1:7" x14ac:dyDescent="0.3">
      <c r="A26" s="2" t="s">
        <v>66</v>
      </c>
      <c r="B26" s="2" t="s">
        <v>62</v>
      </c>
      <c r="C26" s="3" t="s">
        <v>67</v>
      </c>
      <c r="D26" s="2" t="s">
        <v>10</v>
      </c>
      <c r="E26" s="2"/>
      <c r="F26" s="2" t="s">
        <v>28</v>
      </c>
      <c r="G26" s="2" t="b">
        <v>0</v>
      </c>
    </row>
    <row r="27" spans="1:7" x14ac:dyDescent="0.3">
      <c r="A27" s="2" t="s">
        <v>68</v>
      </c>
      <c r="B27" s="2" t="s">
        <v>69</v>
      </c>
      <c r="C27" s="3" t="s">
        <v>70</v>
      </c>
      <c r="D27" s="2" t="s">
        <v>10</v>
      </c>
      <c r="E27" s="2"/>
      <c r="F27" s="2" t="s">
        <v>28</v>
      </c>
      <c r="G27" s="2" t="b">
        <v>0</v>
      </c>
    </row>
    <row r="28" spans="1:7" x14ac:dyDescent="0.3">
      <c r="A28" s="2" t="s">
        <v>71</v>
      </c>
      <c r="B28" s="2" t="s">
        <v>69</v>
      </c>
      <c r="C28" s="3" t="s">
        <v>72</v>
      </c>
      <c r="D28" s="2" t="s">
        <v>10</v>
      </c>
      <c r="E28" s="2"/>
      <c r="F28" s="2" t="s">
        <v>23</v>
      </c>
      <c r="G28" s="2" t="b">
        <v>0</v>
      </c>
    </row>
    <row r="29" spans="1:7" x14ac:dyDescent="0.3">
      <c r="A29" s="2" t="s">
        <v>73</v>
      </c>
      <c r="B29" s="2" t="s">
        <v>69</v>
      </c>
      <c r="C29" s="3" t="s">
        <v>74</v>
      </c>
      <c r="D29" s="2" t="s">
        <v>10</v>
      </c>
      <c r="E29" s="2"/>
      <c r="F29" s="2" t="s">
        <v>23</v>
      </c>
      <c r="G29" s="2" t="b">
        <v>0</v>
      </c>
    </row>
    <row r="30" spans="1:7" x14ac:dyDescent="0.3">
      <c r="A30" s="2" t="s">
        <v>75</v>
      </c>
      <c r="B30" s="2" t="s">
        <v>76</v>
      </c>
      <c r="C30" s="3" t="s">
        <v>77</v>
      </c>
      <c r="D30" s="2" t="s">
        <v>10</v>
      </c>
      <c r="E30" s="2"/>
      <c r="F30" s="2" t="s">
        <v>11</v>
      </c>
      <c r="G30" s="2" t="b">
        <v>0</v>
      </c>
    </row>
    <row r="31" spans="1:7" x14ac:dyDescent="0.3">
      <c r="A31" s="2" t="s">
        <v>78</v>
      </c>
      <c r="B31" s="2" t="s">
        <v>79</v>
      </c>
      <c r="C31" s="3" t="s">
        <v>80</v>
      </c>
      <c r="D31" s="2" t="s">
        <v>10</v>
      </c>
      <c r="E31" s="2"/>
      <c r="F31" s="2" t="s">
        <v>23</v>
      </c>
      <c r="G31" s="2" t="b">
        <v>0</v>
      </c>
    </row>
    <row r="32" spans="1:7" x14ac:dyDescent="0.3">
      <c r="A32" s="2" t="s">
        <v>81</v>
      </c>
      <c r="B32" s="2" t="s">
        <v>79</v>
      </c>
      <c r="C32" s="3" t="s">
        <v>82</v>
      </c>
      <c r="D32" s="2" t="s">
        <v>10</v>
      </c>
      <c r="E32" s="2"/>
      <c r="F32" s="2" t="s">
        <v>23</v>
      </c>
      <c r="G32" s="2" t="b">
        <v>0</v>
      </c>
    </row>
  </sheetData>
  <autoFilter ref="A1:G32" xr:uid="{00000000-0009-0000-0000-000000000000}"/>
  <phoneticPr fontId="6" type="noConversion"/>
  <conditionalFormatting sqref="A2:G300">
    <cfRule type="expression" dxfId="0" priority="1">
      <formula>$G2=TRUE</formula>
    </cfRule>
  </conditionalFormatting>
  <dataValidations count="2">
    <dataValidation type="list" allowBlank="1" showInputMessage="1" showErrorMessage="1" sqref="D2:D300" xr:uid="{00000000-0002-0000-0000-000000000000}">
      <formula1>"P0,P1,P2,미확정"</formula1>
    </dataValidation>
    <dataValidation type="list" allowBlank="1" showInputMessage="1" showErrorMessage="1" sqref="F2:F300" xr:uid="{00000000-0002-0000-0000-000001000000}">
      <formula1>"S1,S2,S3,미정"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6.5" x14ac:dyDescent="0.3"/>
  <cols>
    <col min="1" max="1" width="12.75" customWidth="1"/>
    <col min="2" max="8" width="9.75" customWidth="1"/>
  </cols>
  <sheetData>
    <row r="1" spans="1:6" ht="20.25" x14ac:dyDescent="0.35">
      <c r="A1" s="4" t="s">
        <v>83</v>
      </c>
    </row>
    <row r="2" spans="1:6" x14ac:dyDescent="0.3">
      <c r="A2" s="5" t="s">
        <v>84</v>
      </c>
    </row>
    <row r="4" spans="1:6" x14ac:dyDescent="0.3">
      <c r="A4" s="6" t="s">
        <v>5</v>
      </c>
      <c r="B4" s="6" t="s">
        <v>85</v>
      </c>
      <c r="C4" s="6" t="s">
        <v>6</v>
      </c>
      <c r="D4" s="6" t="s">
        <v>86</v>
      </c>
    </row>
    <row r="5" spans="1:6" x14ac:dyDescent="0.3">
      <c r="A5" s="2" t="s">
        <v>11</v>
      </c>
      <c r="B5" s="2">
        <f>COUNTIF(백로그!$F$2:$F$300,A5)</f>
        <v>6</v>
      </c>
      <c r="C5" s="2">
        <f>COUNTIFS(백로그!$F$2:$F$300,A5,백로그!$G$2:$G$300,TRUE)</f>
        <v>0</v>
      </c>
      <c r="D5" s="7">
        <f>IFERROR(C5/B5,0)</f>
        <v>0</v>
      </c>
    </row>
    <row r="6" spans="1:6" x14ac:dyDescent="0.3">
      <c r="A6" s="2" t="s">
        <v>28</v>
      </c>
      <c r="B6" s="2">
        <f>COUNTIF(백로그!$F$2:$F$300,A6)</f>
        <v>15</v>
      </c>
      <c r="C6" s="2">
        <f>COUNTIFS(백로그!$F$2:$F$300,A6,백로그!$G$2:$G$300,TRUE)</f>
        <v>0</v>
      </c>
      <c r="D6" s="7">
        <f>IFERROR(C6/B6,0)</f>
        <v>0</v>
      </c>
    </row>
    <row r="7" spans="1:6" x14ac:dyDescent="0.3">
      <c r="A7" s="2" t="s">
        <v>23</v>
      </c>
      <c r="B7" s="2">
        <f>COUNTIF(백로그!$F$2:$F$300,A7)</f>
        <v>9</v>
      </c>
      <c r="C7" s="2">
        <f>COUNTIFS(백로그!$F$2:$F$300,A7,백로그!$G$2:$G$300,TRUE)</f>
        <v>0</v>
      </c>
      <c r="D7" s="7">
        <f>IFERROR(C7/B7,0)</f>
        <v>0</v>
      </c>
    </row>
    <row r="8" spans="1:6" x14ac:dyDescent="0.3">
      <c r="A8" s="2" t="s">
        <v>36</v>
      </c>
      <c r="B8" s="2">
        <f>COUNTIF(백로그!$F$2:$F$300,A8)</f>
        <v>1</v>
      </c>
      <c r="C8" s="2">
        <f>COUNTIFS(백로그!$F$2:$F$300,A8,백로그!$G$2:$G$300,TRUE)</f>
        <v>0</v>
      </c>
      <c r="D8" s="7">
        <f>IFERROR(C8/B8,0)</f>
        <v>0</v>
      </c>
    </row>
    <row r="9" spans="1:6" x14ac:dyDescent="0.3">
      <c r="A9" s="8" t="s">
        <v>85</v>
      </c>
      <c r="B9" s="8">
        <f>COUNTA(백로그!$A$2:$A$300)</f>
        <v>31</v>
      </c>
      <c r="C9" s="8">
        <f>COUNTIF(백로그!$G$2:$G$300,TRUE)</f>
        <v>0</v>
      </c>
      <c r="D9" s="9">
        <f>IFERROR(C9/B9,0)</f>
        <v>0</v>
      </c>
    </row>
    <row r="11" spans="1:6" x14ac:dyDescent="0.3">
      <c r="A11" s="6" t="s">
        <v>87</v>
      </c>
      <c r="B11" s="6" t="s">
        <v>10</v>
      </c>
      <c r="C11" s="6" t="s">
        <v>88</v>
      </c>
      <c r="D11" s="6" t="s">
        <v>89</v>
      </c>
      <c r="E11" s="6" t="s">
        <v>35</v>
      </c>
      <c r="F11" s="6" t="s">
        <v>90</v>
      </c>
    </row>
    <row r="12" spans="1:6" x14ac:dyDescent="0.3">
      <c r="A12" s="2" t="s">
        <v>11</v>
      </c>
      <c r="B12" s="2">
        <f>COUNTIFS(백로그!$F$2:$F$300,$A12,백로그!$D$2:$D$300,B$11)</f>
        <v>6</v>
      </c>
      <c r="C12" s="2">
        <f>COUNTIFS(백로그!$F$2:$F$300,$A12,백로그!$D$2:$D$300,C$11)</f>
        <v>0</v>
      </c>
      <c r="D12" s="2">
        <f>COUNTIFS(백로그!$F$2:$F$300,$A12,백로그!$D$2:$D$300,D$11)</f>
        <v>0</v>
      </c>
      <c r="E12" s="2">
        <f>COUNTIFS(백로그!$F$2:$F$300,$A12,백로그!$D$2:$D$300,E$11)</f>
        <v>0</v>
      </c>
      <c r="F12" s="8">
        <f>SUM(B12:E12)</f>
        <v>6</v>
      </c>
    </row>
    <row r="13" spans="1:6" x14ac:dyDescent="0.3">
      <c r="A13" s="2" t="s">
        <v>28</v>
      </c>
      <c r="B13" s="2">
        <f>COUNTIFS(백로그!$F$2:$F$300,$A13,백로그!$D$2:$D$300,B$11)</f>
        <v>15</v>
      </c>
      <c r="C13" s="2">
        <f>COUNTIFS(백로그!$F$2:$F$300,$A13,백로그!$D$2:$D$300,C$11)</f>
        <v>0</v>
      </c>
      <c r="D13" s="2">
        <f>COUNTIFS(백로그!$F$2:$F$300,$A13,백로그!$D$2:$D$300,D$11)</f>
        <v>0</v>
      </c>
      <c r="E13" s="2">
        <f>COUNTIFS(백로그!$F$2:$F$300,$A13,백로그!$D$2:$D$300,E$11)</f>
        <v>0</v>
      </c>
      <c r="F13" s="8">
        <f>SUM(B13:E13)</f>
        <v>15</v>
      </c>
    </row>
    <row r="14" spans="1:6" x14ac:dyDescent="0.3">
      <c r="A14" s="2" t="s">
        <v>23</v>
      </c>
      <c r="B14" s="2">
        <f>COUNTIFS(백로그!$F$2:$F$300,$A14,백로그!$D$2:$D$300,B$11)</f>
        <v>9</v>
      </c>
      <c r="C14" s="2">
        <f>COUNTIFS(백로그!$F$2:$F$300,$A14,백로그!$D$2:$D$300,C$11)</f>
        <v>0</v>
      </c>
      <c r="D14" s="2">
        <f>COUNTIFS(백로그!$F$2:$F$300,$A14,백로그!$D$2:$D$300,D$11)</f>
        <v>0</v>
      </c>
      <c r="E14" s="2">
        <f>COUNTIFS(백로그!$F$2:$F$300,$A14,백로그!$D$2:$D$300,E$11)</f>
        <v>0</v>
      </c>
      <c r="F14" s="8">
        <f>SUM(B14:E14)</f>
        <v>9</v>
      </c>
    </row>
    <row r="15" spans="1:6" x14ac:dyDescent="0.3">
      <c r="A15" s="2" t="s">
        <v>36</v>
      </c>
      <c r="B15" s="2">
        <f>COUNTIFS(백로그!$F$2:$F$300,$A15,백로그!$D$2:$D$300,B$11)</f>
        <v>0</v>
      </c>
      <c r="C15" s="2">
        <f>COUNTIFS(백로그!$F$2:$F$300,$A15,백로그!$D$2:$D$300,C$11)</f>
        <v>0</v>
      </c>
      <c r="D15" s="2">
        <f>COUNTIFS(백로그!$F$2:$F$300,$A15,백로그!$D$2:$D$300,D$11)</f>
        <v>0</v>
      </c>
      <c r="E15" s="2">
        <f>COUNTIFS(백로그!$F$2:$F$300,$A15,백로그!$D$2:$D$300,E$11)</f>
        <v>1</v>
      </c>
      <c r="F15" s="8">
        <f>SUM(B15:E15)</f>
        <v>1</v>
      </c>
    </row>
    <row r="16" spans="1:6" x14ac:dyDescent="0.3">
      <c r="A16" s="8" t="s">
        <v>90</v>
      </c>
      <c r="B16" s="8">
        <f>SUM(B12:B15)</f>
        <v>30</v>
      </c>
      <c r="C16" s="8">
        <f>SUM(C12:C15)</f>
        <v>0</v>
      </c>
      <c r="D16" s="8">
        <f>SUM(D12:D15)</f>
        <v>0</v>
      </c>
      <c r="E16" s="8">
        <f>SUM(E12:E15)</f>
        <v>1</v>
      </c>
      <c r="F16" s="8">
        <f>SUM(F12:F15)</f>
        <v>31</v>
      </c>
    </row>
    <row r="17" spans="1:2" x14ac:dyDescent="0.3">
      <c r="A17" s="8" t="s">
        <v>91</v>
      </c>
      <c r="B17" s="8" t="str">
        <f>IF(AND(F16=B9,SUM(B5:B8)=B9),"일치","불일치")</f>
        <v>일치</v>
      </c>
    </row>
    <row r="19" spans="1:2" x14ac:dyDescent="0.3">
      <c r="A19" s="10" t="s">
        <v>92</v>
      </c>
    </row>
    <row r="20" spans="1:2" x14ac:dyDescent="0.3">
      <c r="A20" s="5" t="s">
        <v>93</v>
      </c>
    </row>
    <row r="21" spans="1:2" x14ac:dyDescent="0.3">
      <c r="A21" s="5" t="s">
        <v>94</v>
      </c>
    </row>
    <row r="22" spans="1:2" x14ac:dyDescent="0.3">
      <c r="A22" s="5" t="s">
        <v>95</v>
      </c>
    </row>
    <row r="23" spans="1:2" x14ac:dyDescent="0.3">
      <c r="A23" s="5" t="s">
        <v>96</v>
      </c>
    </row>
    <row r="24" spans="1:2" x14ac:dyDescent="0.3">
      <c r="A24" s="5" t="s">
        <v>97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백로그</vt:lpstr>
      <vt:lpstr>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이준혁</cp:lastModifiedBy>
  <dcterms:created xsi:type="dcterms:W3CDTF">2026-10-11T12:00:20Z</dcterms:created>
  <dcterms:modified xsi:type="dcterms:W3CDTF">2026-10-11T12:02:10Z</dcterms:modified>
</cp:coreProperties>
</file>